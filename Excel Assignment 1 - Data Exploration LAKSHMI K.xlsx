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COT\Desktop\"/>
    </mc:Choice>
  </mc:AlternateContent>
  <xr:revisionPtr revIDLastSave="0" documentId="13_ncr:1_{5AEC3266-6612-4CBA-8677-88AACE51204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xxdYPntQl+bO0ka4qHfhA4BnM4OowOuFpS2wlv4H/kM=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G42" i="2"/>
  <c r="G43" i="2"/>
  <c r="G3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G41" i="2"/>
  <c r="G40" i="2"/>
  <c r="G39" i="2"/>
  <c r="G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5D22FB-721C-4CCF-9E39-2C71F2012316}" keepAlive="1" name="Query - brand" description="Connection to the 'brand' query in the workbook." type="5" refreshedVersion="8" background="1" saveData="1">
    <dbPr connection="Provider=Microsoft.Mashup.OleDb.1;Data Source=$Workbook$;Location=brand;Extended Properties=&quot;&quot;" command="SELECT * FROM [brand]"/>
  </connection>
</connections>
</file>

<file path=xl/sharedStrings.xml><?xml version="1.0" encoding="utf-8"?>
<sst xmlns="http://schemas.openxmlformats.org/spreadsheetml/2006/main" count="191" uniqueCount="141">
  <si>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</si>
  <si>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</si>
  <si>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</si>
  <si>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</si>
  <si>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</si>
  <si>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</si>
  <si>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</si>
  <si>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</si>
  <si>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</si>
  <si>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</si>
  <si>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</si>
  <si>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</si>
  <si>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</si>
  <si>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</si>
  <si>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</si>
  <si>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</si>
  <si>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</si>
  <si>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</si>
  <si>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</si>
  <si>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</si>
  <si>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</si>
  <si>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</si>
  <si>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</si>
  <si>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</si>
  <si>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</si>
  <si>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</si>
  <si>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</si>
  <si>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</si>
  <si>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</si>
  <si>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</si>
  <si>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</si>
  <si>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</si>
  <si>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</si>
  <si>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</si>
  <si>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</si>
  <si>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</si>
  <si>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</si>
  <si>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</si>
  <si>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</si>
  <si>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</si>
  <si>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</si>
  <si>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</si>
  <si>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</si>
  <si>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</si>
  <si>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</si>
  <si>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</si>
  <si>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</si>
  <si>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</si>
  <si>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</si>
  <si>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</si>
  <si>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</si>
  <si>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</si>
  <si>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</si>
  <si>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</si>
  <si>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</si>
  <si>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</si>
  <si>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</si>
  <si>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</si>
  <si>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</si>
  <si>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</si>
  <si>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</si>
  <si>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</si>
  <si>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</si>
  <si>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</si>
  <si>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</si>
  <si>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</si>
  <si>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</si>
  <si>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</si>
  <si>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</si>
  <si>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</si>
  <si>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</si>
  <si>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</si>
  <si>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</si>
  <si>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</si>
  <si>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</si>
  <si>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</si>
  <si>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</si>
  <si>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</si>
  <si>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</si>
  <si>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</si>
  <si>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</si>
  <si>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</si>
  <si>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</si>
  <si>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</si>
  <si>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</si>
  <si>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</si>
  <si>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</si>
  <si>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</si>
  <si>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</si>
  <si>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</si>
  <si>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</si>
  <si>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</si>
  <si>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</si>
  <si>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</si>
  <si>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</si>
  <si>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</si>
  <si>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</si>
  <si>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</si>
  <si>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</si>
  <si>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</si>
  <si>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</si>
  <si>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</si>
  <si>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</si>
  <si>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</si>
  <si>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</si>
  <si>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</si>
  <si>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</si>
  <si>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</si>
  <si>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</si>
  <si>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</si>
  <si>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</si>
  <si>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SUM</t>
  </si>
  <si>
    <t>AVERAGE</t>
  </si>
  <si>
    <t>MIN</t>
  </si>
  <si>
    <t>MAX</t>
  </si>
  <si>
    <t>COUNT</t>
  </si>
  <si>
    <t>SUMIF</t>
  </si>
  <si>
    <t>COUNTIF</t>
  </si>
  <si>
    <t>LEFT</t>
  </si>
  <si>
    <t>RIGHT</t>
  </si>
  <si>
    <t>MID</t>
  </si>
  <si>
    <t>1) Sum, Count, Average</t>
  </si>
  <si>
    <r>
      <t>Total Price of all products:</t>
    </r>
    <r>
      <rPr>
        <sz val="10"/>
        <color rgb="FF000000"/>
        <rFont val="Arial"/>
        <family val="2"/>
        <scheme val="minor"/>
      </rPr>
      <t xml:space="preserve"> $10,100.00</t>
    </r>
  </si>
  <si>
    <r>
      <t>Total Count of products:</t>
    </r>
    <r>
      <rPr>
        <sz val="10"/>
        <color rgb="FF000000"/>
        <rFont val="Arial"/>
        <family val="2"/>
        <scheme val="minor"/>
      </rPr>
      <t xml:space="preserve"> 34</t>
    </r>
  </si>
  <si>
    <r>
      <t>Average Price of products:</t>
    </r>
    <r>
      <rPr>
        <sz val="10"/>
        <color rgb="FF000000"/>
        <rFont val="Arial"/>
        <family val="2"/>
        <scheme val="minor"/>
      </rPr>
      <t xml:space="preserve"> $297.06</t>
    </r>
  </si>
  <si>
    <t>2) Min and Max</t>
  </si>
  <si>
    <r>
      <t>Minimum Price:</t>
    </r>
    <r>
      <rPr>
        <sz val="10"/>
        <color rgb="FF000000"/>
        <rFont val="Arial"/>
        <family val="2"/>
        <scheme val="minor"/>
      </rPr>
      <t xml:space="preserve"> $30.00</t>
    </r>
  </si>
  <si>
    <r>
      <t>Maximum Price:</t>
    </r>
    <r>
      <rPr>
        <sz val="10"/>
        <color rgb="FF000000"/>
        <rFont val="Arial"/>
        <family val="2"/>
        <scheme val="minor"/>
      </rPr>
      <t xml:space="preserve"> $1,000.00</t>
    </r>
  </si>
  <si>
    <t>3) IF Function (Price Range)</t>
  </si>
  <si>
    <r>
      <t xml:space="preserve">A new column </t>
    </r>
    <r>
      <rPr>
        <b/>
        <sz val="10"/>
        <color rgb="FF000000"/>
        <rFont val="Arial Unicode MS"/>
      </rPr>
      <t>Price Range</t>
    </r>
    <r>
      <rPr>
        <sz val="10"/>
        <color rgb="FF000000"/>
        <rFont val="Arial"/>
        <family val="2"/>
        <scheme val="minor"/>
      </rPr>
      <t xml:space="preserve"> has been created/updated.</t>
    </r>
  </si>
  <si>
    <r>
      <t xml:space="preserve">Products with a price </t>
    </r>
    <r>
      <rPr>
        <b/>
        <sz val="10"/>
        <color rgb="FF000000"/>
        <rFont val="Arial"/>
        <family val="2"/>
        <scheme val="minor"/>
      </rPr>
      <t>$500 or more</t>
    </r>
    <r>
      <rPr>
        <sz val="10"/>
        <color rgb="FF000000"/>
        <rFont val="Arial"/>
        <family val="2"/>
        <scheme val="minor"/>
      </rPr>
      <t xml:space="preserve"> are categorized as </t>
    </r>
    <r>
      <rPr>
        <b/>
        <sz val="10"/>
        <color rgb="FF000000"/>
        <rFont val="Arial"/>
        <family val="2"/>
        <scheme val="minor"/>
      </rPr>
      <t>'High Price'</t>
    </r>
    <r>
      <rPr>
        <sz val="10"/>
        <color rgb="FF000000"/>
        <rFont val="Arial"/>
        <family val="2"/>
        <scheme val="minor"/>
      </rPr>
      <t>.</t>
    </r>
  </si>
  <si>
    <r>
      <t xml:space="preserve">Products with a price </t>
    </r>
    <r>
      <rPr>
        <b/>
        <sz val="10"/>
        <color rgb="FF000000"/>
        <rFont val="Arial"/>
        <family val="2"/>
        <scheme val="minor"/>
      </rPr>
      <t>less than $500</t>
    </r>
    <r>
      <rPr>
        <sz val="10"/>
        <color rgb="FF000000"/>
        <rFont val="Arial"/>
        <family val="2"/>
        <scheme val="minor"/>
      </rPr>
      <t xml:space="preserve"> are categorized as </t>
    </r>
    <r>
      <rPr>
        <b/>
        <sz val="10"/>
        <color rgb="FF000000"/>
        <rFont val="Arial"/>
        <family val="2"/>
        <scheme val="minor"/>
      </rPr>
      <t>'Standard Price'</t>
    </r>
    <r>
      <rPr>
        <sz val="10"/>
        <color rgb="FF000000"/>
        <rFont val="Arial"/>
        <family val="2"/>
        <scheme val="minor"/>
      </rPr>
      <t>.</t>
    </r>
  </si>
  <si>
    <t>4) SUMIF and COUNTIF</t>
  </si>
  <si>
    <r>
      <t>Total Price for 'Electronics' category:</t>
    </r>
    <r>
      <rPr>
        <sz val="10"/>
        <color rgb="FF000000"/>
        <rFont val="Arial"/>
        <family val="2"/>
        <scheme val="minor"/>
      </rPr>
      <t xml:space="preserve"> $8,050.00</t>
    </r>
  </si>
  <si>
    <r>
      <t>Count of products with price less than $100:</t>
    </r>
    <r>
      <rPr>
        <sz val="10"/>
        <color rgb="FF000000"/>
        <rFont val="Arial"/>
        <family val="2"/>
        <scheme val="minor"/>
      </rPr>
      <t xml:space="preserve"> 11</t>
    </r>
  </si>
  <si>
    <t>5) Text Formatting (LEFT, RIGHT, MID)</t>
  </si>
  <si>
    <r>
      <t>Day</t>
    </r>
    <r>
      <rPr>
        <sz val="10"/>
        <color rgb="FF000000"/>
        <rFont val="Arial"/>
        <family val="2"/>
        <scheme val="minor"/>
      </rPr>
      <t>: Created using the first 2 characters of 'Product ID'.</t>
    </r>
  </si>
  <si>
    <r>
      <t>Country Code</t>
    </r>
    <r>
      <rPr>
        <sz val="10"/>
        <color rgb="FF000000"/>
        <rFont val="Arial"/>
        <family val="2"/>
        <scheme val="minor"/>
      </rPr>
      <t>: Created using the last 2 characters of 'Product ID'.</t>
    </r>
  </si>
  <si>
    <r>
      <t>Month</t>
    </r>
    <r>
      <rPr>
        <sz val="10"/>
        <color rgb="FF000000"/>
        <rFont val="Arial"/>
        <family val="2"/>
        <scheme val="minor"/>
      </rPr>
      <t>: Created using the 4th to 6th characters of 'Product ID'.</t>
    </r>
  </si>
  <si>
    <t>EXCEL ASSIGNMENT -1</t>
  </si>
  <si>
    <t>SOLUTIONS: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</si>
</sst>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 Unicode MS"/>
    </font>
  </fonts>
  <fills count="1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E0F7FA"/>
      </patternFill>
    </fill>
    <fill>
      <patternFill patternType="solid">
        <fgColor theme="6" tint="0.39997558519241921"/>
        <bgColor rgb="FFE0F7FA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rgb="FF4DD0E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0F7FA"/>
      </patternFill>
    </fill>
    <fill>
      <patternFill patternType="solid">
        <fgColor theme="0"/>
        <bgColor rgb="FFE0F7FA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6" fillId="4" borderId="0" xfId="0" applyFont="1" applyFill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7" borderId="2" xfId="0" applyFont="1" applyFill="1" applyBorder="1" applyAlignment="1">
      <alignment vertical="center" wrapText="1"/>
    </xf>
    <xf numFmtId="0" fontId="7" fillId="8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7" fillId="0" borderId="1" xfId="0" applyFont="1" applyBorder="1"/>
    <xf numFmtId="0" fontId="8" fillId="8" borderId="1" xfId="0" applyFont="1" applyFill="1" applyBorder="1"/>
    <xf numFmtId="0" fontId="7" fillId="8" borderId="1" xfId="0" applyFont="1" applyFill="1" applyBorder="1" applyAlignment="1">
      <alignment horizont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7" fillId="9" borderId="1" xfId="0" applyFont="1" applyFill="1" applyBorder="1"/>
    <xf numFmtId="0" fontId="7" fillId="9" borderId="1" xfId="0" applyFont="1" applyFill="1" applyBorder="1" applyAlignment="1">
      <alignment horizontal="center"/>
    </xf>
    <xf numFmtId="0" fontId="6" fillId="13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 vertical="center" indent="1"/>
    </xf>
    <xf numFmtId="0" fontId="10" fillId="0" borderId="0" xfId="0" applyFont="1"/>
    <xf numFmtId="0" fontId="10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7" fillId="14" borderId="0" xfId="0" applyFont="1" applyFill="1" applyAlignment="1">
      <alignment horizontal="center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fill>
        <patternFill patternType="solid">
          <fgColor rgb="FFE0F7FA"/>
          <bgColor theme="7" tint="0.3999755851924192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theme="6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fill>
        <patternFill patternType="solid">
          <fgColor rgb="FFE0F7FA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fill>
        <patternFill patternType="solid">
          <fgColor rgb="FFE0F7FA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fill>
        <patternFill patternType="solid">
          <fgColor rgb="FFE0F7FA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7CD5D6-68E7-4F96-B893-7A8B7B829689}" name="Electronics" displayName="Electronics" ref="A2:J37" totalsRowCount="1" headerRowDxfId="25" dataDxfId="23" totalsRowDxfId="21" headerRowBorderDxfId="24" tableBorderDxfId="22" totalsRowBorderDxfId="20">
  <autoFilter ref="A2:J36" xr:uid="{2A7CD5D6-68E7-4F96-B893-7A8B7B829689}"/>
  <tableColumns count="10">
    <tableColumn id="1" xr3:uid="{AD0FB092-9261-481B-87AC-6A8AD5222D65}" name="Product ID" totalsRowLabel="SOLUTIONS:" dataDxfId="19" totalsRowDxfId="18"/>
    <tableColumn id="8" xr3:uid="{0E59D1A1-C5A3-46D9-9406-5F46EF470995}" name="LEFT" dataDxfId="17" totalsRowDxfId="16">
      <calculatedColumnFormula>LEFT(A3,2)</calculatedColumnFormula>
    </tableColumn>
    <tableColumn id="10" xr3:uid="{B767AC97-26A5-4DA2-9EA2-BF636E0E151E}" name="MID" dataDxfId="15" totalsRowDxfId="14">
      <calculatedColumnFormula>MID(A3,4,3)</calculatedColumnFormula>
    </tableColumn>
    <tableColumn id="9" xr3:uid="{C89EF170-5ED4-4059-B39B-70682E061F94}" name="RIGHT" dataDxfId="13" totalsRowDxfId="12">
      <calculatedColumnFormula>RIGHT(A3,2)</calculatedColumnFormula>
    </tableColumn>
    <tableColumn id="2" xr3:uid="{08FAA89F-8CA7-4F55-BCFB-36D5E9FB1E98}" name="Product Name" dataDxfId="11" totalsRowDxfId="10"/>
    <tableColumn id="3" xr3:uid="{34395C3D-4B7C-4EF7-8779-0981243FA108}" name="Brand Name" totalsRowLabel="SUM" dataDxfId="9" totalsRowDxfId="8"/>
    <tableColumn id="4" xr3:uid="{A7E0BC19-8492-464C-B8EF-8F168798767B}" name="Price ($)" totalsRowFunction="custom" dataDxfId="7" totalsRowDxfId="6">
      <totalsRowFormula>SUM(Electronics[Price ($)])</totalsRowFormula>
    </tableColumn>
    <tableColumn id="7" xr3:uid="{842D07FE-A5F6-4DEE-84F8-B0CFDCA103B3}" name="Price Range" dataDxfId="5" totalsRowDxfId="4">
      <calculatedColumnFormula>IF(Electronics[[#This Row],[Price ($)]]&gt;500,"Highprice","Standardprice")</calculatedColumnFormula>
    </tableColumn>
    <tableColumn id="5" xr3:uid="{9F43112D-736E-4E47-B6EB-88845C88F964}" name="Quantity" dataDxfId="3" totalsRowDxfId="2"/>
    <tableColumn id="6" xr3:uid="{7E954F7A-B89B-4F32-91F3-505F39906190}" name="Category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3" workbookViewId="0">
      <selection activeCell="M22" sqref="M22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7"/>
  <sheetViews>
    <sheetView tabSelected="1" topLeftCell="A41" workbookViewId="0">
      <selection activeCell="G42" sqref="G42"/>
    </sheetView>
  </sheetViews>
  <sheetFormatPr defaultColWidth="12.5703125" defaultRowHeight="30" customHeight="1"/>
  <cols>
    <col min="1" max="1" width="12.5703125" style="21" customWidth="1"/>
    <col min="2" max="4" width="12.5703125" style="31" customWidth="1"/>
    <col min="5" max="5" width="15.42578125" style="21" customWidth="1"/>
    <col min="6" max="6" width="13.85546875" style="21" customWidth="1"/>
    <col min="7" max="7" width="12.5703125" style="24" customWidth="1"/>
    <col min="8" max="8" width="13.85546875" style="24" customWidth="1"/>
    <col min="9" max="9" width="12.5703125" style="25" customWidth="1"/>
    <col min="10" max="10" width="12.5703125" style="21" customWidth="1"/>
    <col min="11" max="16384" width="12.5703125" style="21"/>
  </cols>
  <sheetData>
    <row r="1" spans="1:11" ht="30" customHeight="1">
      <c r="A1" s="54" t="s">
        <v>139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30" customHeight="1">
      <c r="A2" s="5" t="s">
        <v>17</v>
      </c>
      <c r="B2" s="35" t="s">
        <v>118</v>
      </c>
      <c r="C2" s="35" t="s">
        <v>120</v>
      </c>
      <c r="D2" s="35" t="s">
        <v>119</v>
      </c>
      <c r="E2" s="6" t="s">
        <v>18</v>
      </c>
      <c r="F2" s="6" t="s">
        <v>19</v>
      </c>
      <c r="G2" s="6" t="s">
        <v>20</v>
      </c>
      <c r="H2" s="6" t="s">
        <v>110</v>
      </c>
      <c r="I2" s="6" t="s">
        <v>21</v>
      </c>
      <c r="J2" s="7" t="s">
        <v>22</v>
      </c>
      <c r="K2" s="20"/>
    </row>
    <row r="3" spans="1:11" ht="30" customHeight="1">
      <c r="A3" s="8" t="s">
        <v>23</v>
      </c>
      <c r="B3" s="36" t="str">
        <f t="shared" ref="B3:B36" si="0">LEFT(A3,2)</f>
        <v>28</v>
      </c>
      <c r="C3" s="36" t="str">
        <f t="shared" ref="C3:C36" si="1">MID(A3,4,3)</f>
        <v>JAN</v>
      </c>
      <c r="D3" s="36" t="str">
        <f t="shared" ref="D3:D36" si="2">RIGHT(A3,2)</f>
        <v>US</v>
      </c>
      <c r="E3" s="9" t="s">
        <v>24</v>
      </c>
      <c r="F3" s="9" t="s">
        <v>25</v>
      </c>
      <c r="G3" s="10">
        <v>1000</v>
      </c>
      <c r="H3" s="28" t="str">
        <f>IF(Electronics[[#This Row],[Price ($)]]&gt;500,"Highprice","Standardprice")</f>
        <v>Highprice</v>
      </c>
      <c r="I3" s="10">
        <v>30</v>
      </c>
      <c r="J3" s="11" t="s">
        <v>26</v>
      </c>
      <c r="K3" s="22"/>
    </row>
    <row r="4" spans="1:11" ht="30" customHeight="1">
      <c r="A4" s="12" t="s">
        <v>27</v>
      </c>
      <c r="B4" s="37" t="str">
        <f t="shared" si="0"/>
        <v>15</v>
      </c>
      <c r="C4" s="37" t="str">
        <f t="shared" si="1"/>
        <v>FEB</v>
      </c>
      <c r="D4" s="37" t="str">
        <f t="shared" si="2"/>
        <v>US</v>
      </c>
      <c r="E4" s="13" t="s">
        <v>28</v>
      </c>
      <c r="F4" s="13" t="s">
        <v>29</v>
      </c>
      <c r="G4" s="14">
        <v>80</v>
      </c>
      <c r="H4" s="29" t="str">
        <f>IF(Electronics[[#This Row],[Price ($)]]&gt;500,"Highprice","Standardprice")</f>
        <v>Standardprice</v>
      </c>
      <c r="I4" s="14">
        <v>15</v>
      </c>
      <c r="J4" s="15" t="s">
        <v>30</v>
      </c>
      <c r="K4" s="22"/>
    </row>
    <row r="5" spans="1:11" ht="30" customHeight="1">
      <c r="A5" s="8" t="s">
        <v>31</v>
      </c>
      <c r="B5" s="36" t="str">
        <f t="shared" si="0"/>
        <v>03</v>
      </c>
      <c r="C5" s="36" t="str">
        <f t="shared" si="1"/>
        <v>MAR</v>
      </c>
      <c r="D5" s="36" t="str">
        <f t="shared" si="2"/>
        <v>US</v>
      </c>
      <c r="E5" s="9" t="s">
        <v>32</v>
      </c>
      <c r="F5" s="9" t="s">
        <v>33</v>
      </c>
      <c r="G5" s="10">
        <v>130</v>
      </c>
      <c r="H5" s="28" t="str">
        <f>IF(Electronics[[#This Row],[Price ($)]]&gt;500,"Highprice","Standardprice")</f>
        <v>Standardprice</v>
      </c>
      <c r="I5" s="10">
        <v>40</v>
      </c>
      <c r="J5" s="11" t="s">
        <v>34</v>
      </c>
      <c r="K5" s="22"/>
    </row>
    <row r="6" spans="1:11" ht="30" customHeight="1">
      <c r="A6" s="12" t="s">
        <v>35</v>
      </c>
      <c r="B6" s="37" t="str">
        <f t="shared" si="0"/>
        <v>11</v>
      </c>
      <c r="C6" s="37" t="str">
        <f t="shared" si="1"/>
        <v>APR</v>
      </c>
      <c r="D6" s="37" t="str">
        <f t="shared" si="2"/>
        <v>US</v>
      </c>
      <c r="E6" s="13" t="s">
        <v>36</v>
      </c>
      <c r="F6" s="13" t="s">
        <v>37</v>
      </c>
      <c r="G6" s="14">
        <v>900</v>
      </c>
      <c r="H6" s="29" t="str">
        <f>IF(Electronics[[#This Row],[Price ($)]]&gt;500,"Highprice","Standardprice")</f>
        <v>Highprice</v>
      </c>
      <c r="I6" s="14">
        <v>25</v>
      </c>
      <c r="J6" s="15" t="s">
        <v>26</v>
      </c>
      <c r="K6" s="22"/>
    </row>
    <row r="7" spans="1:11" ht="30" customHeight="1">
      <c r="A7" s="8" t="s">
        <v>38</v>
      </c>
      <c r="B7" s="36" t="str">
        <f t="shared" si="0"/>
        <v>22</v>
      </c>
      <c r="C7" s="36" t="str">
        <f t="shared" si="1"/>
        <v>MAY</v>
      </c>
      <c r="D7" s="36" t="str">
        <f t="shared" si="2"/>
        <v>US</v>
      </c>
      <c r="E7" s="9" t="s">
        <v>39</v>
      </c>
      <c r="F7" s="9" t="s">
        <v>40</v>
      </c>
      <c r="G7" s="10">
        <v>70</v>
      </c>
      <c r="H7" s="28" t="str">
        <f>IF(Electronics[[#This Row],[Price ($)]]&gt;500,"Highprice","Standardprice")</f>
        <v>Standardprice</v>
      </c>
      <c r="I7" s="10">
        <v>20</v>
      </c>
      <c r="J7" s="11" t="s">
        <v>41</v>
      </c>
      <c r="K7" s="22"/>
    </row>
    <row r="8" spans="1:11" ht="30" customHeight="1">
      <c r="A8" s="12" t="s">
        <v>42</v>
      </c>
      <c r="B8" s="37" t="str">
        <f t="shared" si="0"/>
        <v>07</v>
      </c>
      <c r="C8" s="37" t="str">
        <f t="shared" si="1"/>
        <v>JUN</v>
      </c>
      <c r="D8" s="37" t="str">
        <f t="shared" si="2"/>
        <v>UK</v>
      </c>
      <c r="E8" s="13" t="s">
        <v>43</v>
      </c>
      <c r="F8" s="13" t="s">
        <v>44</v>
      </c>
      <c r="G8" s="14">
        <v>200</v>
      </c>
      <c r="H8" s="29" t="str">
        <f>IF(Electronics[[#This Row],[Price ($)]]&gt;500,"Highprice","Standardprice")</f>
        <v>Standardprice</v>
      </c>
      <c r="I8" s="14">
        <v>45</v>
      </c>
      <c r="J8" s="15" t="s">
        <v>26</v>
      </c>
      <c r="K8" s="22"/>
    </row>
    <row r="9" spans="1:11" ht="30" customHeight="1">
      <c r="A9" s="8" t="s">
        <v>45</v>
      </c>
      <c r="B9" s="36" t="str">
        <f t="shared" si="0"/>
        <v>19</v>
      </c>
      <c r="C9" s="36" t="str">
        <f t="shared" si="1"/>
        <v>JUL</v>
      </c>
      <c r="D9" s="36" t="str">
        <f t="shared" si="2"/>
        <v>UK</v>
      </c>
      <c r="E9" s="9" t="s">
        <v>46</v>
      </c>
      <c r="F9" s="9" t="s">
        <v>47</v>
      </c>
      <c r="G9" s="10">
        <v>30</v>
      </c>
      <c r="H9" s="28" t="str">
        <f>IF(Electronics[[#This Row],[Price ($)]]&gt;500,"Highprice","Standardprice")</f>
        <v>Standardprice</v>
      </c>
      <c r="I9" s="10">
        <v>5</v>
      </c>
      <c r="J9" s="11" t="s">
        <v>30</v>
      </c>
      <c r="K9" s="22"/>
    </row>
    <row r="10" spans="1:11" ht="30" customHeight="1">
      <c r="A10" s="12" t="s">
        <v>48</v>
      </c>
      <c r="B10" s="37" t="str">
        <f t="shared" si="0"/>
        <v>23</v>
      </c>
      <c r="C10" s="37" t="str">
        <f t="shared" si="1"/>
        <v>AUG</v>
      </c>
      <c r="D10" s="37" t="str">
        <f t="shared" si="2"/>
        <v>UK</v>
      </c>
      <c r="E10" s="13" t="s">
        <v>49</v>
      </c>
      <c r="F10" s="13" t="s">
        <v>50</v>
      </c>
      <c r="G10" s="14">
        <v>90</v>
      </c>
      <c r="H10" s="29" t="str">
        <f>IF(Electronics[[#This Row],[Price ($)]]&gt;500,"Highprice","Standardprice")</f>
        <v>Standardprice</v>
      </c>
      <c r="I10" s="14">
        <v>35</v>
      </c>
      <c r="J10" s="15" t="s">
        <v>34</v>
      </c>
      <c r="K10" s="22"/>
    </row>
    <row r="11" spans="1:11" ht="30" customHeight="1">
      <c r="A11" s="8" t="s">
        <v>51</v>
      </c>
      <c r="B11" s="36" t="str">
        <f t="shared" si="0"/>
        <v>05</v>
      </c>
      <c r="C11" s="36" t="str">
        <f t="shared" si="1"/>
        <v>SEP</v>
      </c>
      <c r="D11" s="36" t="str">
        <f t="shared" si="2"/>
        <v>UK</v>
      </c>
      <c r="E11" s="9" t="s">
        <v>52</v>
      </c>
      <c r="F11" s="9" t="s">
        <v>53</v>
      </c>
      <c r="G11" s="10">
        <v>500</v>
      </c>
      <c r="H11" s="28" t="str">
        <f>IF(Electronics[[#This Row],[Price ($)]]&gt;500,"Highprice","Standardprice")</f>
        <v>Standardprice</v>
      </c>
      <c r="I11" s="10">
        <v>50</v>
      </c>
      <c r="J11" s="11" t="s">
        <v>26</v>
      </c>
      <c r="K11" s="22"/>
    </row>
    <row r="12" spans="1:11" ht="30" customHeight="1">
      <c r="A12" s="12" t="s">
        <v>54</v>
      </c>
      <c r="B12" s="37" t="str">
        <f t="shared" si="0"/>
        <v>14</v>
      </c>
      <c r="C12" s="37" t="str">
        <f t="shared" si="1"/>
        <v>OCT</v>
      </c>
      <c r="D12" s="37" t="str">
        <f t="shared" si="2"/>
        <v>UK</v>
      </c>
      <c r="E12" s="13" t="s">
        <v>55</v>
      </c>
      <c r="F12" s="13" t="s">
        <v>56</v>
      </c>
      <c r="G12" s="14">
        <v>130</v>
      </c>
      <c r="H12" s="29" t="str">
        <f>IF(Electronics[[#This Row],[Price ($)]]&gt;500,"Highprice","Standardprice")</f>
        <v>Standardprice</v>
      </c>
      <c r="I12" s="14">
        <v>10</v>
      </c>
      <c r="J12" s="15" t="s">
        <v>41</v>
      </c>
      <c r="K12" s="22"/>
    </row>
    <row r="13" spans="1:11" ht="30" customHeight="1">
      <c r="A13" s="8" t="s">
        <v>57</v>
      </c>
      <c r="B13" s="36" t="str">
        <f t="shared" si="0"/>
        <v>17</v>
      </c>
      <c r="C13" s="36" t="str">
        <f t="shared" si="1"/>
        <v>JUN</v>
      </c>
      <c r="D13" s="36" t="str">
        <f t="shared" si="2"/>
        <v>IN</v>
      </c>
      <c r="E13" s="9" t="s">
        <v>24</v>
      </c>
      <c r="F13" s="9" t="s">
        <v>58</v>
      </c>
      <c r="G13" s="10">
        <v>950</v>
      </c>
      <c r="H13" s="28" t="str">
        <f>IF(Electronics[[#This Row],[Price ($)]]&gt;500,"Highprice","Standardprice")</f>
        <v>Highprice</v>
      </c>
      <c r="I13" s="10">
        <v>25</v>
      </c>
      <c r="J13" s="11" t="s">
        <v>26</v>
      </c>
      <c r="K13" s="22"/>
    </row>
    <row r="14" spans="1:11" ht="30" customHeight="1">
      <c r="A14" s="12" t="s">
        <v>59</v>
      </c>
      <c r="B14" s="37" t="str">
        <f t="shared" si="0"/>
        <v>25</v>
      </c>
      <c r="C14" s="37" t="str">
        <f t="shared" si="1"/>
        <v>NOV</v>
      </c>
      <c r="D14" s="37" t="str">
        <f t="shared" si="2"/>
        <v>AU</v>
      </c>
      <c r="E14" s="13" t="s">
        <v>28</v>
      </c>
      <c r="F14" s="13" t="s">
        <v>47</v>
      </c>
      <c r="G14" s="14">
        <v>90</v>
      </c>
      <c r="H14" s="29" t="str">
        <f>IF(Electronics[[#This Row],[Price ($)]]&gt;500,"Highprice","Standardprice")</f>
        <v>Standardprice</v>
      </c>
      <c r="I14" s="14">
        <v>40</v>
      </c>
      <c r="J14" s="15" t="s">
        <v>30</v>
      </c>
      <c r="K14" s="22"/>
    </row>
    <row r="15" spans="1:11" ht="30" customHeight="1">
      <c r="A15" s="8" t="s">
        <v>60</v>
      </c>
      <c r="B15" s="36" t="str">
        <f t="shared" si="0"/>
        <v>08</v>
      </c>
      <c r="C15" s="36" t="str">
        <f t="shared" si="1"/>
        <v>DEC</v>
      </c>
      <c r="D15" s="36" t="str">
        <f t="shared" si="2"/>
        <v>DE</v>
      </c>
      <c r="E15" s="9" t="s">
        <v>32</v>
      </c>
      <c r="F15" s="9" t="s">
        <v>61</v>
      </c>
      <c r="G15" s="10">
        <v>120</v>
      </c>
      <c r="H15" s="28" t="str">
        <f>IF(Electronics[[#This Row],[Price ($)]]&gt;500,"Highprice","Standardprice")</f>
        <v>Standardprice</v>
      </c>
      <c r="I15" s="10">
        <v>35</v>
      </c>
      <c r="J15" s="11" t="s">
        <v>34</v>
      </c>
      <c r="K15" s="22"/>
    </row>
    <row r="16" spans="1:11" ht="30" customHeight="1">
      <c r="A16" s="12" t="s">
        <v>62</v>
      </c>
      <c r="B16" s="37" t="str">
        <f t="shared" si="0"/>
        <v>18</v>
      </c>
      <c r="C16" s="37" t="str">
        <f t="shared" si="1"/>
        <v>FEB</v>
      </c>
      <c r="D16" s="37" t="str">
        <f t="shared" si="2"/>
        <v>CA</v>
      </c>
      <c r="E16" s="13" t="s">
        <v>63</v>
      </c>
      <c r="F16" s="13" t="s">
        <v>64</v>
      </c>
      <c r="G16" s="14">
        <v>150</v>
      </c>
      <c r="H16" s="29" t="str">
        <f>IF(Electronics[[#This Row],[Price ($)]]&gt;500,"Highprice","Standardprice")</f>
        <v>Standardprice</v>
      </c>
      <c r="I16" s="14">
        <v>15</v>
      </c>
      <c r="J16" s="15" t="s">
        <v>26</v>
      </c>
      <c r="K16" s="22"/>
    </row>
    <row r="17" spans="1:11" ht="30" customHeight="1">
      <c r="A17" s="8" t="s">
        <v>65</v>
      </c>
      <c r="B17" s="36" t="str">
        <f t="shared" si="0"/>
        <v>16</v>
      </c>
      <c r="C17" s="36" t="str">
        <f t="shared" si="1"/>
        <v>APR</v>
      </c>
      <c r="D17" s="36" t="str">
        <f t="shared" si="2"/>
        <v>ES</v>
      </c>
      <c r="E17" s="9" t="s">
        <v>43</v>
      </c>
      <c r="F17" s="9" t="s">
        <v>66</v>
      </c>
      <c r="G17" s="10">
        <v>250</v>
      </c>
      <c r="H17" s="28" t="str">
        <f>IF(Electronics[[#This Row],[Price ($)]]&gt;500,"Highprice","Standardprice")</f>
        <v>Standardprice</v>
      </c>
      <c r="I17" s="10">
        <v>20</v>
      </c>
      <c r="J17" s="11" t="s">
        <v>26</v>
      </c>
      <c r="K17" s="22"/>
    </row>
    <row r="18" spans="1:11" ht="30" customHeight="1">
      <c r="A18" s="12" t="s">
        <v>67</v>
      </c>
      <c r="B18" s="37" t="str">
        <f t="shared" si="0"/>
        <v>21</v>
      </c>
      <c r="C18" s="37" t="str">
        <f t="shared" si="1"/>
        <v>AUG</v>
      </c>
      <c r="D18" s="37" t="str">
        <f t="shared" si="2"/>
        <v>CA</v>
      </c>
      <c r="E18" s="13" t="s">
        <v>68</v>
      </c>
      <c r="F18" s="13" t="s">
        <v>69</v>
      </c>
      <c r="G18" s="14">
        <v>50</v>
      </c>
      <c r="H18" s="29" t="str">
        <f>IF(Electronics[[#This Row],[Price ($)]]&gt;500,"Highprice","Standardprice")</f>
        <v>Standardprice</v>
      </c>
      <c r="I18" s="14">
        <v>35</v>
      </c>
      <c r="J18" s="15" t="s">
        <v>70</v>
      </c>
      <c r="K18" s="22"/>
    </row>
    <row r="19" spans="1:11" ht="30" customHeight="1">
      <c r="A19" s="8" t="s">
        <v>71</v>
      </c>
      <c r="B19" s="36" t="str">
        <f t="shared" si="0"/>
        <v>20</v>
      </c>
      <c r="C19" s="36" t="str">
        <f t="shared" si="1"/>
        <v>AUG</v>
      </c>
      <c r="D19" s="36" t="str">
        <f t="shared" si="2"/>
        <v>CN</v>
      </c>
      <c r="E19" s="9" t="s">
        <v>63</v>
      </c>
      <c r="F19" s="9" t="s">
        <v>72</v>
      </c>
      <c r="G19" s="10">
        <v>160</v>
      </c>
      <c r="H19" s="28" t="str">
        <f>IF(Electronics[[#This Row],[Price ($)]]&gt;500,"Highprice","Standardprice")</f>
        <v>Standardprice</v>
      </c>
      <c r="I19" s="10">
        <v>15</v>
      </c>
      <c r="J19" s="11" t="s">
        <v>26</v>
      </c>
      <c r="K19" s="22"/>
    </row>
    <row r="20" spans="1:11" ht="30" customHeight="1">
      <c r="A20" s="12" t="s">
        <v>73</v>
      </c>
      <c r="B20" s="37" t="str">
        <f t="shared" si="0"/>
        <v>27</v>
      </c>
      <c r="C20" s="37" t="str">
        <f t="shared" si="1"/>
        <v>JAN</v>
      </c>
      <c r="D20" s="37" t="str">
        <f t="shared" si="2"/>
        <v>IT</v>
      </c>
      <c r="E20" s="13" t="s">
        <v>24</v>
      </c>
      <c r="F20" s="13" t="s">
        <v>74</v>
      </c>
      <c r="G20" s="14">
        <v>980</v>
      </c>
      <c r="H20" s="29" t="str">
        <f>IF(Electronics[[#This Row],[Price ($)]]&gt;500,"Highprice","Standardprice")</f>
        <v>Highprice</v>
      </c>
      <c r="I20" s="14">
        <v>10</v>
      </c>
      <c r="J20" s="15" t="s">
        <v>26</v>
      </c>
      <c r="K20" s="22"/>
    </row>
    <row r="21" spans="1:11" ht="30" customHeight="1">
      <c r="A21" s="8" t="s">
        <v>75</v>
      </c>
      <c r="B21" s="36" t="str">
        <f t="shared" si="0"/>
        <v>01</v>
      </c>
      <c r="C21" s="36" t="str">
        <f t="shared" si="1"/>
        <v>MAR</v>
      </c>
      <c r="D21" s="36" t="str">
        <f t="shared" si="2"/>
        <v>UK</v>
      </c>
      <c r="E21" s="9" t="s">
        <v>76</v>
      </c>
      <c r="F21" s="9" t="s">
        <v>77</v>
      </c>
      <c r="G21" s="10">
        <v>150</v>
      </c>
      <c r="H21" s="28" t="str">
        <f>IF(Electronics[[#This Row],[Price ($)]]&gt;500,"Highprice","Standardprice")</f>
        <v>Standardprice</v>
      </c>
      <c r="I21" s="10">
        <v>15</v>
      </c>
      <c r="J21" s="11" t="s">
        <v>30</v>
      </c>
      <c r="K21" s="22"/>
    </row>
    <row r="22" spans="1:11" ht="30" customHeight="1">
      <c r="A22" s="12" t="s">
        <v>78</v>
      </c>
      <c r="B22" s="37" t="str">
        <f t="shared" si="0"/>
        <v>14</v>
      </c>
      <c r="C22" s="37" t="str">
        <f t="shared" si="1"/>
        <v>AUG</v>
      </c>
      <c r="D22" s="37" t="str">
        <f t="shared" si="2"/>
        <v>US</v>
      </c>
      <c r="E22" s="13" t="s">
        <v>79</v>
      </c>
      <c r="F22" s="13" t="s">
        <v>80</v>
      </c>
      <c r="G22" s="14">
        <v>200</v>
      </c>
      <c r="H22" s="29" t="str">
        <f>IF(Electronics[[#This Row],[Price ($)]]&gt;500,"Highprice","Standardprice")</f>
        <v>Standardprice</v>
      </c>
      <c r="I22" s="14">
        <v>10</v>
      </c>
      <c r="J22" s="15" t="s">
        <v>41</v>
      </c>
      <c r="K22" s="22"/>
    </row>
    <row r="23" spans="1:11" ht="30" customHeight="1">
      <c r="A23" s="8" t="s">
        <v>81</v>
      </c>
      <c r="B23" s="36" t="str">
        <f t="shared" si="0"/>
        <v>14</v>
      </c>
      <c r="C23" s="36" t="str">
        <f t="shared" si="1"/>
        <v>MAY</v>
      </c>
      <c r="D23" s="36" t="str">
        <f t="shared" si="2"/>
        <v>RU</v>
      </c>
      <c r="E23" s="9" t="s">
        <v>82</v>
      </c>
      <c r="F23" s="9" t="s">
        <v>83</v>
      </c>
      <c r="G23" s="10">
        <v>700</v>
      </c>
      <c r="H23" s="28" t="str">
        <f>IF(Electronics[[#This Row],[Price ($)]]&gt;500,"Highprice","Standardprice")</f>
        <v>Highprice</v>
      </c>
      <c r="I23" s="10">
        <v>50</v>
      </c>
      <c r="J23" s="11" t="s">
        <v>26</v>
      </c>
      <c r="K23" s="22"/>
    </row>
    <row r="24" spans="1:11" ht="30" customHeight="1">
      <c r="A24" s="12" t="s">
        <v>84</v>
      </c>
      <c r="B24" s="37" t="str">
        <f t="shared" si="0"/>
        <v>09</v>
      </c>
      <c r="C24" s="37" t="str">
        <f t="shared" si="1"/>
        <v>JAN</v>
      </c>
      <c r="D24" s="37" t="str">
        <f t="shared" si="2"/>
        <v>CA</v>
      </c>
      <c r="E24" s="13" t="s">
        <v>85</v>
      </c>
      <c r="F24" s="13" t="s">
        <v>86</v>
      </c>
      <c r="G24" s="14">
        <v>80</v>
      </c>
      <c r="H24" s="29" t="str">
        <f>IF(Electronics[[#This Row],[Price ($)]]&gt;500,"Highprice","Standardprice")</f>
        <v>Standardprice</v>
      </c>
      <c r="I24" s="14">
        <v>20</v>
      </c>
      <c r="J24" s="15" t="s">
        <v>34</v>
      </c>
      <c r="K24" s="22"/>
    </row>
    <row r="25" spans="1:11" ht="30" customHeight="1">
      <c r="A25" s="8" t="s">
        <v>87</v>
      </c>
      <c r="B25" s="36" t="str">
        <f t="shared" si="0"/>
        <v>19</v>
      </c>
      <c r="C25" s="36" t="str">
        <f t="shared" si="1"/>
        <v>JUL</v>
      </c>
      <c r="D25" s="36" t="str">
        <f t="shared" si="2"/>
        <v>BR</v>
      </c>
      <c r="E25" s="9" t="s">
        <v>88</v>
      </c>
      <c r="F25" s="9" t="s">
        <v>89</v>
      </c>
      <c r="G25" s="10">
        <v>150</v>
      </c>
      <c r="H25" s="28" t="str">
        <f>IF(Electronics[[#This Row],[Price ($)]]&gt;500,"Highprice","Standardprice")</f>
        <v>Standardprice</v>
      </c>
      <c r="I25" s="10">
        <v>30</v>
      </c>
      <c r="J25" s="11" t="s">
        <v>26</v>
      </c>
      <c r="K25" s="22"/>
    </row>
    <row r="26" spans="1:11" ht="30" customHeight="1">
      <c r="A26" s="12" t="s">
        <v>67</v>
      </c>
      <c r="B26" s="37" t="str">
        <f t="shared" si="0"/>
        <v>21</v>
      </c>
      <c r="C26" s="37" t="str">
        <f t="shared" si="1"/>
        <v>AUG</v>
      </c>
      <c r="D26" s="37" t="str">
        <f t="shared" si="2"/>
        <v>CA</v>
      </c>
      <c r="E26" s="13" t="s">
        <v>68</v>
      </c>
      <c r="F26" s="13" t="s">
        <v>69</v>
      </c>
      <c r="G26" s="14">
        <v>50</v>
      </c>
      <c r="H26" s="29" t="str">
        <f>IF(Electronics[[#This Row],[Price ($)]]&gt;500,"Highprice","Standardprice")</f>
        <v>Standardprice</v>
      </c>
      <c r="I26" s="14">
        <v>35</v>
      </c>
      <c r="J26" s="15" t="s">
        <v>70</v>
      </c>
      <c r="K26" s="23"/>
    </row>
    <row r="27" spans="1:11" ht="30" customHeight="1">
      <c r="A27" s="8" t="s">
        <v>90</v>
      </c>
      <c r="B27" s="36" t="str">
        <f t="shared" si="0"/>
        <v>29</v>
      </c>
      <c r="C27" s="36" t="str">
        <f t="shared" si="1"/>
        <v>SEP</v>
      </c>
      <c r="D27" s="36" t="str">
        <f t="shared" si="2"/>
        <v>CA</v>
      </c>
      <c r="E27" s="9" t="s">
        <v>36</v>
      </c>
      <c r="F27" s="9" t="s">
        <v>91</v>
      </c>
      <c r="G27" s="10">
        <v>800</v>
      </c>
      <c r="H27" s="28" t="str">
        <f>IF(Electronics[[#This Row],[Price ($)]]&gt;500,"Highprice","Standardprice")</f>
        <v>Highprice</v>
      </c>
      <c r="I27" s="10">
        <v>45</v>
      </c>
      <c r="J27" s="11" t="s">
        <v>26</v>
      </c>
      <c r="K27" s="22"/>
    </row>
    <row r="28" spans="1:11" ht="30" customHeight="1">
      <c r="A28" s="12" t="s">
        <v>92</v>
      </c>
      <c r="B28" s="37" t="str">
        <f t="shared" si="0"/>
        <v>03</v>
      </c>
      <c r="C28" s="37" t="str">
        <f t="shared" si="1"/>
        <v>JUN</v>
      </c>
      <c r="D28" s="37" t="str">
        <f t="shared" si="2"/>
        <v>CA</v>
      </c>
      <c r="E28" s="13" t="s">
        <v>76</v>
      </c>
      <c r="F28" s="13" t="s">
        <v>93</v>
      </c>
      <c r="G28" s="14">
        <v>130</v>
      </c>
      <c r="H28" s="29" t="str">
        <f>IF(Electronics[[#This Row],[Price ($)]]&gt;500,"Highprice","Standardprice")</f>
        <v>Standardprice</v>
      </c>
      <c r="I28" s="14">
        <v>25</v>
      </c>
      <c r="J28" s="15" t="s">
        <v>30</v>
      </c>
      <c r="K28" s="22"/>
    </row>
    <row r="29" spans="1:11" ht="30" customHeight="1">
      <c r="A29" s="8" t="s">
        <v>94</v>
      </c>
      <c r="B29" s="36" t="str">
        <f t="shared" si="0"/>
        <v>11</v>
      </c>
      <c r="C29" s="36" t="str">
        <f t="shared" si="1"/>
        <v>JUL</v>
      </c>
      <c r="D29" s="36" t="str">
        <f t="shared" si="2"/>
        <v>CA</v>
      </c>
      <c r="E29" s="9" t="s">
        <v>49</v>
      </c>
      <c r="F29" s="9" t="s">
        <v>95</v>
      </c>
      <c r="G29" s="10">
        <v>400</v>
      </c>
      <c r="H29" s="28" t="str">
        <f>IF(Electronics[[#This Row],[Price ($)]]&gt;500,"Highprice","Standardprice")</f>
        <v>Standardprice</v>
      </c>
      <c r="I29" s="10">
        <v>40</v>
      </c>
      <c r="J29" s="11" t="s">
        <v>34</v>
      </c>
      <c r="K29" s="22"/>
    </row>
    <row r="30" spans="1:11" ht="30" customHeight="1">
      <c r="A30" s="12" t="s">
        <v>65</v>
      </c>
      <c r="B30" s="37" t="str">
        <f t="shared" si="0"/>
        <v>16</v>
      </c>
      <c r="C30" s="37" t="str">
        <f t="shared" si="1"/>
        <v>APR</v>
      </c>
      <c r="D30" s="37" t="str">
        <f t="shared" si="2"/>
        <v>ES</v>
      </c>
      <c r="E30" s="13" t="s">
        <v>43</v>
      </c>
      <c r="F30" s="13" t="s">
        <v>66</v>
      </c>
      <c r="G30" s="14">
        <v>230</v>
      </c>
      <c r="H30" s="29" t="str">
        <f>IF(Electronics[[#This Row],[Price ($)]]&gt;500,"Highprice","Standardprice")</f>
        <v>Standardprice</v>
      </c>
      <c r="I30" s="14">
        <v>20</v>
      </c>
      <c r="J30" s="15" t="s">
        <v>26</v>
      </c>
      <c r="K30" s="23"/>
    </row>
    <row r="31" spans="1:11" ht="30" customHeight="1">
      <c r="A31" s="8" t="s">
        <v>96</v>
      </c>
      <c r="B31" s="36" t="str">
        <f t="shared" si="0"/>
        <v>07</v>
      </c>
      <c r="C31" s="36" t="str">
        <f t="shared" si="1"/>
        <v>MAR</v>
      </c>
      <c r="D31" s="36" t="str">
        <f t="shared" si="2"/>
        <v>CA</v>
      </c>
      <c r="E31" s="9" t="s">
        <v>97</v>
      </c>
      <c r="F31" s="9" t="s">
        <v>98</v>
      </c>
      <c r="G31" s="10">
        <v>60</v>
      </c>
      <c r="H31" s="28" t="str">
        <f>IF(Electronics[[#This Row],[Price ($)]]&gt;500,"Highprice","Standardprice")</f>
        <v>Standardprice</v>
      </c>
      <c r="I31" s="10">
        <v>30</v>
      </c>
      <c r="J31" s="11" t="s">
        <v>30</v>
      </c>
      <c r="K31" s="22"/>
    </row>
    <row r="32" spans="1:11" ht="30" customHeight="1">
      <c r="A32" s="12" t="s">
        <v>99</v>
      </c>
      <c r="B32" s="37" t="str">
        <f t="shared" si="0"/>
        <v>13</v>
      </c>
      <c r="C32" s="37" t="str">
        <f t="shared" si="1"/>
        <v>APR</v>
      </c>
      <c r="D32" s="37" t="str">
        <f t="shared" si="2"/>
        <v>CA</v>
      </c>
      <c r="E32" s="13" t="s">
        <v>100</v>
      </c>
      <c r="F32" s="13" t="s">
        <v>101</v>
      </c>
      <c r="G32" s="14">
        <v>40</v>
      </c>
      <c r="H32" s="29" t="str">
        <f>IF(Electronics[[#This Row],[Price ($)]]&gt;500,"Highprice","Standardprice")</f>
        <v>Standardprice</v>
      </c>
      <c r="I32" s="14">
        <v>10</v>
      </c>
      <c r="J32" s="15" t="s">
        <v>34</v>
      </c>
      <c r="K32" s="22"/>
    </row>
    <row r="33" spans="1:11" ht="30" customHeight="1">
      <c r="A33" s="8" t="s">
        <v>102</v>
      </c>
      <c r="B33" s="36" t="str">
        <f t="shared" si="0"/>
        <v>24</v>
      </c>
      <c r="C33" s="36" t="str">
        <f t="shared" si="1"/>
        <v>MAY</v>
      </c>
      <c r="D33" s="36" t="str">
        <f t="shared" si="2"/>
        <v>CA</v>
      </c>
      <c r="E33" s="9" t="s">
        <v>88</v>
      </c>
      <c r="F33" s="9" t="s">
        <v>103</v>
      </c>
      <c r="G33" s="10">
        <v>130</v>
      </c>
      <c r="H33" s="28" t="str">
        <f>IF(Electronics[[#This Row],[Price ($)]]&gt;500,"Highprice","Standardprice")</f>
        <v>Standardprice</v>
      </c>
      <c r="I33" s="10">
        <v>5</v>
      </c>
      <c r="J33" s="11" t="s">
        <v>26</v>
      </c>
      <c r="K33" s="22"/>
    </row>
    <row r="34" spans="1:11" ht="30" customHeight="1">
      <c r="A34" s="12" t="s">
        <v>104</v>
      </c>
      <c r="B34" s="37" t="str">
        <f t="shared" si="0"/>
        <v>02</v>
      </c>
      <c r="C34" s="37" t="str">
        <f t="shared" si="1"/>
        <v>DEC</v>
      </c>
      <c r="D34" s="37" t="str">
        <f t="shared" si="2"/>
        <v>CA</v>
      </c>
      <c r="E34" s="13" t="s">
        <v>105</v>
      </c>
      <c r="F34" s="13" t="s">
        <v>106</v>
      </c>
      <c r="G34" s="14">
        <v>50</v>
      </c>
      <c r="H34" s="29" t="str">
        <f>IF(Electronics[[#This Row],[Price ($)]]&gt;500,"Highprice","Standardprice")</f>
        <v>Standardprice</v>
      </c>
      <c r="I34" s="14">
        <v>50</v>
      </c>
      <c r="J34" s="15" t="s">
        <v>30</v>
      </c>
      <c r="K34" s="22"/>
    </row>
    <row r="35" spans="1:11" ht="30" customHeight="1">
      <c r="A35" s="8" t="s">
        <v>57</v>
      </c>
      <c r="B35" s="36" t="str">
        <f t="shared" si="0"/>
        <v>17</v>
      </c>
      <c r="C35" s="36" t="str">
        <f t="shared" si="1"/>
        <v>JUN</v>
      </c>
      <c r="D35" s="36" t="str">
        <f t="shared" si="2"/>
        <v>IN</v>
      </c>
      <c r="E35" s="9" t="s">
        <v>24</v>
      </c>
      <c r="F35" s="9" t="s">
        <v>58</v>
      </c>
      <c r="G35" s="10">
        <v>950</v>
      </c>
      <c r="H35" s="28" t="str">
        <f>IF(Electronics[[#This Row],[Price ($)]]&gt;500,"Highprice","Standardprice")</f>
        <v>Highprice</v>
      </c>
      <c r="I35" s="10">
        <v>25</v>
      </c>
      <c r="J35" s="11" t="s">
        <v>26</v>
      </c>
      <c r="K35" s="22"/>
    </row>
    <row r="36" spans="1:11" ht="30" customHeight="1">
      <c r="A36" s="16" t="s">
        <v>107</v>
      </c>
      <c r="B36" s="38" t="str">
        <f t="shared" si="0"/>
        <v>09</v>
      </c>
      <c r="C36" s="38" t="str">
        <f t="shared" si="1"/>
        <v>JUL</v>
      </c>
      <c r="D36" s="38" t="str">
        <f t="shared" si="2"/>
        <v>FR</v>
      </c>
      <c r="E36" s="17" t="s">
        <v>108</v>
      </c>
      <c r="F36" s="17" t="s">
        <v>109</v>
      </c>
      <c r="G36" s="18">
        <v>100</v>
      </c>
      <c r="H36" s="30" t="str">
        <f>IF(Electronics[[#This Row],[Price ($)]]&gt;500,"Highprice","Standardprice")</f>
        <v>Standardprice</v>
      </c>
      <c r="I36" s="18">
        <v>20</v>
      </c>
      <c r="J36" s="19" t="s">
        <v>70</v>
      </c>
      <c r="K36" s="22"/>
    </row>
    <row r="37" spans="1:11" ht="30" customHeight="1">
      <c r="A37" s="16" t="s">
        <v>140</v>
      </c>
      <c r="B37" s="47"/>
      <c r="C37" s="47"/>
      <c r="D37" s="47"/>
      <c r="E37" s="17"/>
      <c r="F37" s="32" t="s">
        <v>111</v>
      </c>
      <c r="G37" s="33">
        <f>SUM(Electronics[Price ($)])</f>
        <v>10100</v>
      </c>
      <c r="I37" s="18"/>
      <c r="J37" s="19"/>
    </row>
    <row r="38" spans="1:11" ht="30" customHeight="1">
      <c r="A38" s="26"/>
      <c r="B38" s="26"/>
      <c r="C38" s="26"/>
      <c r="D38" s="26"/>
      <c r="E38" s="13"/>
      <c r="F38" s="39" t="s">
        <v>115</v>
      </c>
      <c r="G38" s="34">
        <f>COUNT(G3:G36)</f>
        <v>34</v>
      </c>
      <c r="I38" s="27"/>
      <c r="J38" s="26"/>
    </row>
    <row r="39" spans="1:11" ht="30" customHeight="1">
      <c r="E39" s="40"/>
      <c r="F39" s="41" t="s">
        <v>112</v>
      </c>
      <c r="G39" s="42">
        <f>AVERAGE(Electronics[Price ($)])</f>
        <v>297.05882352941177</v>
      </c>
    </row>
    <row r="40" spans="1:11" ht="30" customHeight="1">
      <c r="E40" s="40"/>
      <c r="F40" s="43" t="s">
        <v>113</v>
      </c>
      <c r="G40" s="44">
        <f>MIN(Electronics[Price ($)])</f>
        <v>30</v>
      </c>
    </row>
    <row r="41" spans="1:11" ht="30" customHeight="1">
      <c r="E41" s="40"/>
      <c r="F41" s="43" t="s">
        <v>114</v>
      </c>
      <c r="G41" s="44">
        <f>MAX(Electronics[Price ($)])</f>
        <v>1000</v>
      </c>
    </row>
    <row r="42" spans="1:11" ht="30" customHeight="1">
      <c r="E42" s="45" t="s">
        <v>26</v>
      </c>
      <c r="F42" s="45" t="s">
        <v>116</v>
      </c>
      <c r="G42" s="46">
        <f>SUMIF(J3:J36,E42,G3:G36)</f>
        <v>8050</v>
      </c>
    </row>
    <row r="43" spans="1:11" ht="30" customHeight="1">
      <c r="E43" s="45"/>
      <c r="F43" s="45" t="s">
        <v>117</v>
      </c>
      <c r="G43" s="46">
        <f>COUNTIF(G3:G36,"&lt;100")</f>
        <v>11</v>
      </c>
    </row>
    <row r="44" spans="1:11" ht="30" customHeight="1">
      <c r="C44" s="48" t="s">
        <v>121</v>
      </c>
    </row>
    <row r="45" spans="1:11" ht="30" customHeight="1">
      <c r="C45" s="50" t="s">
        <v>122</v>
      </c>
    </row>
    <row r="46" spans="1:11" ht="30" customHeight="1">
      <c r="C46" s="50" t="s">
        <v>123</v>
      </c>
    </row>
    <row r="47" spans="1:11" ht="30" customHeight="1">
      <c r="C47" s="50" t="s">
        <v>124</v>
      </c>
    </row>
    <row r="48" spans="1:11" ht="30" customHeight="1">
      <c r="C48" s="48" t="s">
        <v>125</v>
      </c>
    </row>
    <row r="49" spans="3:3" ht="30" customHeight="1">
      <c r="C49" s="50" t="s">
        <v>126</v>
      </c>
    </row>
    <row r="50" spans="3:3" ht="30" customHeight="1">
      <c r="C50" s="50" t="s">
        <v>127</v>
      </c>
    </row>
    <row r="51" spans="3:3" ht="30" customHeight="1">
      <c r="C51" s="48" t="s">
        <v>128</v>
      </c>
    </row>
    <row r="52" spans="3:3" ht="30" customHeight="1">
      <c r="C52" s="52" t="s">
        <v>129</v>
      </c>
    </row>
    <row r="53" spans="3:3" ht="30" customHeight="1">
      <c r="C53" s="52" t="s">
        <v>130</v>
      </c>
    </row>
    <row r="54" spans="3:3" ht="30" customHeight="1">
      <c r="C54" s="52" t="s">
        <v>131</v>
      </c>
    </row>
    <row r="55" spans="3:3" ht="30" customHeight="1">
      <c r="C55" s="48" t="s">
        <v>132</v>
      </c>
    </row>
    <row r="56" spans="3:3" ht="30" customHeight="1">
      <c r="C56" s="50" t="s">
        <v>133</v>
      </c>
    </row>
    <row r="57" spans="3:3" ht="30" customHeight="1">
      <c r="C57" s="50" t="s">
        <v>134</v>
      </c>
    </row>
    <row r="58" spans="3:3" ht="30" customHeight="1">
      <c r="C58" s="48" t="s">
        <v>135</v>
      </c>
    </row>
    <row r="59" spans="3:3" ht="30" customHeight="1">
      <c r="C59" s="53" t="s">
        <v>136</v>
      </c>
    </row>
    <row r="60" spans="3:3" ht="30" customHeight="1">
      <c r="C60" s="53" t="s">
        <v>137</v>
      </c>
    </row>
    <row r="61" spans="3:3" ht="30" customHeight="1">
      <c r="C61" s="53" t="s">
        <v>138</v>
      </c>
    </row>
    <row r="62" spans="3:3" ht="30" customHeight="1">
      <c r="C62"/>
    </row>
    <row r="63" spans="3:3" ht="30" customHeight="1">
      <c r="C63" s="51"/>
    </row>
    <row r="64" spans="3:3" ht="30" customHeight="1">
      <c r="C64"/>
    </row>
    <row r="65" spans="3:3" ht="30" customHeight="1">
      <c r="C65" s="49"/>
    </row>
    <row r="66" spans="3:3" ht="30" customHeight="1">
      <c r="C66"/>
    </row>
    <row r="67" spans="3:3" ht="30" customHeight="1">
      <c r="C67" s="49"/>
    </row>
  </sheetData>
  <mergeCells count="1">
    <mergeCell ref="A1:J1"/>
  </mergeCells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6F8953-3E37-4F98-B931-A92C7F59A0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cp:lastPrinted>2026-02-16T18:14:38Z</cp:lastPrinted>
  <dcterms:created xsi:type="dcterms:W3CDTF">2026-02-16T18:22:52Z</dcterms:created>
  <dcterms:modified xsi:type="dcterms:W3CDTF">2026-02-16T18:25:55Z</dcterms:modified>
</cp:coreProperties>
</file>